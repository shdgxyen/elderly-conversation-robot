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<sst xmlns="http://schemas.openxmlformats.org/spreadsheetml/2006/main" count="44" uniqueCount="41">
  <si>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采购申请表</t>
  </si>
  <si>
    <t>服务校区</t>
  </si>
  <si>
    <t>漫游城校区</t>
  </si>
  <si>
    <t>课题编号</t>
  </si>
  <si>
    <t>采购人</t>
  </si>
  <si>
    <t>蔡欣宇</t>
  </si>
  <si>
    <t>采购金额</t>
  </si>
  <si>
    <t>序号</t>
  </si>
  <si>
    <t>发票编号</t>
  </si>
  <si>
    <t>物料名称</t>
  </si>
  <si>
    <t>类型</t>
  </si>
  <si>
    <t>单价</t>
  </si>
  <si>
    <t>数量</t>
  </si>
  <si>
    <t>总价</t>
  </si>
  <si>
    <t>备注</t>
  </si>
  <si>
    <t>采购链接</t>
  </si>
  <si>
    <t>esp32</t>
  </si>
  <si>
    <t>小智AI语音助手Pro 可摄像头识别</t>
  </si>
  <si>
    <t>https://item.taobao.com/item.htm?abbucket=10&amp;id=896754903078&amp;mi_id=0000NCv_znqVHykex9ITogo-Q31kq1qc6AFtIxvKKZkGeQE&amp;ns=1&amp;priceTId=214782e417889205924387406e1096&amp;skuId=5751680429110&amp;spm=a21n57.1.hoverItem.2&amp;utparam=%7B%22aplus_abtest%22%3A%22f386ecee692dfff30d7032bb3c6a9084%22%7D&amp;xxc=taobaoSearch</t>
  </si>
  <si>
    <t>型材</t>
  </si>
  <si>
    <t>HD-OB2020C-Y欧标1.0银白氧化</t>
  </si>
  <si>
    <t>https://item.taobao.com/item.htm?abbucket=10&amp;id=553559966915&amp;mi_id=0000maQNW2meKMxJoTcuyxSGTSrOZ7swbQ7mHFPNV4Ggm3c&amp;ns=1&amp;priceTId=214781de17889221327262886e104a&amp;spm=a21n57.1.hoverItem.3&amp;utparam=%7B%22aplus_abtest%22%3A%22a153aa6984b21786cf3e942b24683e56%22%7D&amp;xxc=taobaoSearch&amp;skuId=5463960671731</t>
  </si>
  <si>
    <t>垃圾袋</t>
  </si>
  <si>
    <r>
      <t>中号特厚【4卷60只</t>
    </r>
    <r>
      <rPr>
        <sz val="10"/>
        <rFont val="宋体-简"/>
        <charset val="134"/>
      </rPr>
      <t>❤</t>
    </r>
    <r>
      <rPr>
        <sz val="10"/>
        <rFont val="微软雅黑"/>
        <charset val="134"/>
      </rPr>
      <t>自动收口】象牙白-抽绳式-45*41cm.</t>
    </r>
  </si>
  <si>
    <t>https://detail.tmall.com/item.htm?abbucket=10&amp;id=748867667707&amp;mi_id=0000lFl7QjTNLsfDncpw7WR3JHEGaNctIDrGiH3i4f55Hy4&amp;ns=1&amp;priceTId=2147867117889233098781550e0fa1&amp;spm=a21n57.1.hoverItem.4&amp;utparam=%7B%22aplus_abtest%22%3A%22844d00c2734794cfc68efd6ca8f72ac2%22%7D&amp;xxc=taobaoSearch&amp;skuId=5331526026329</t>
  </si>
  <si>
    <r>
      <t>大号特厚【8卷120只</t>
    </r>
    <r>
      <rPr>
        <sz val="10"/>
        <rFont val="宋体-简"/>
        <charset val="134"/>
      </rPr>
      <t>❤</t>
    </r>
    <r>
      <rPr>
        <sz val="10"/>
        <rFont val="微软雅黑"/>
        <charset val="134"/>
      </rPr>
      <t>自动收口】象牙白-抽绳式-45*50cm</t>
    </r>
  </si>
  <si>
    <t>舵机</t>
  </si>
  <si>
    <t>S20F 20kg 360度可多圈连续旋转版+连接件+联轴器+多功能支架【多仓发货】</t>
  </si>
  <si>
    <t>https://detail.tmall.com/item.htm?abbucket=10&amp;id=645346572889&amp;mi_id=0000twxlwsilBbD1EsLporgvnfYSeWJ4q5XcTNMaPdRm5FA&amp;ns=1&amp;priceTId=2147867117889234625638260e0fa1&amp;skuId=6076836318576&amp;spm=a21n57.1.hoverItem.5&amp;utparam=%7B%22aplus_abtest%22%3A%225e9976200c9c7b697722d76150aa444e%22%7D&amp;xxc=taobaoSearch</t>
  </si>
  <si>
    <t>洗板水</t>
  </si>
  <si>
    <t>WD40精密电器清洁剂 2瓶特价装</t>
  </si>
  <si>
    <t>https://detail.tmall.com/item.htm?id=661535464420&amp;mi_id=0000Q32p7dhx0nHEg-nXe0TVq7WTvlYOFdCJWRa6izGXrbg&amp;skuId=4949947595281&amp;spm=a21xtw.29978516.0.0&amp;xxc=shop</t>
  </si>
  <si>
    <t>耗材</t>
  </si>
  <si>
    <t xml:space="preserve">
丝绸银13109</t>
  </si>
  <si>
    <t>https://detail.tmall.com/item.htm?abbucket=10&amp;id=861510231125&amp;mi_id=00003VIRjV0sb1j1kfpC7-hfqzqIi2nwevjMLR4d5HgTmtw&amp;ns=1&amp;priceTId=2147867117889237176215529e0fa1&amp;spm=a21n57.1.hoverItem.2&amp;utparam=%7B%22aplus_abtest%22%3A%2297f4fef3315d8217371d9c5c1fd0e6e5%22%7D&amp;xxc=taobaoSearch&amp;skuId=5679756032971</t>
  </si>
  <si>
    <t>线</t>
  </si>
  <si>
    <t>加厚牛皮纸盒装【常用12色每卷200米】</t>
  </si>
  <si>
    <t>https://detail.tmall.com/item.htm?abbucket=10&amp;id=712748319570&amp;mi_id=0000Ij_HNVC_IC4IoNpJWg7oDYTluHh_WWLsmyEPlKRfvlY&amp;ns=1&amp;priceTId=2147846b17889242201686087e101d&amp;spm=a21n57.1.hoverItem.41&amp;utparam=%7B%22aplus_abtest%22%3A%223930d235ac8148df499502f489b66ec9%22%7D&amp;xxc=taobaoSearch&amp;skuId=6276058610589</t>
  </si>
  <si>
    <t>电机</t>
  </si>
  <si>
    <t>n20减速电机（带线150mm长）/500转/分钟/3V</t>
  </si>
  <si>
    <t>https://item.taobao.com/item.htm?abbucket=10&amp;id=769096395403&amp;mi_id=0000W8kaq1vsQQbgVElZBAAdTLmZvmxyj-x2GMVs8fBk4bs&amp;ns=1&amp;priceTId=213e019f17889245819655135e1150&amp;spm=a21n57.1.hoverItem.3&amp;utparam=%7B%22aplus_abtest%22%3A%2230c4475e3f6d515c9b6e9179b0faabed%22%7D&amp;xxc=taobaoSearch&amp;skuId=5446885211548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</si>
</sst>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SimSun"/>
      <charset val="134"/>
    </font>
    <font>
      <b/>
      <sz val="12"/>
      <color indexed="8"/>
      <name val="仿宋"/>
      <charset val="134"/>
    </font>
    <font>
      <b/>
      <sz val="10"/>
      <color indexed="8"/>
      <name val="仿宋"/>
      <charset val="134"/>
    </font>
    <font>
      <b/>
      <sz val="11"/>
      <color indexed="8"/>
      <name val="仿宋"/>
      <charset val="134"/>
    </font>
    <font>
      <sz val="11"/>
      <color indexed="8"/>
      <name val="仿宋"/>
      <charset val="134"/>
    </font>
    <font>
      <sz val="10"/>
      <name val="微软雅黑"/>
      <charset val="134"/>
    </font>
    <font>
      <sz val="11"/>
      <color rgb="FF0000FF"/>
      <name val="Helvetica Neue"/>
      <charset val="134"/>
    </font>
    <font>
      <sz val="10"/>
      <color indexed="8"/>
      <name val="Helvetica Neue"/>
      <charset val="134"/>
    </font>
    <font>
      <sz val="11"/>
      <color indexed="13"/>
      <name val="SimSun"/>
      <charset val="134"/>
    </font>
    <font>
      <sz val="11"/>
      <color indexed="12"/>
      <name val="SimSun"/>
      <charset val="134"/>
    </font>
    <font>
      <b/>
      <sz val="10"/>
      <color indexed="8"/>
      <name val="微软雅黑"/>
      <charset val="134"/>
    </font>
    <font>
      <sz val="14"/>
      <color indexed="14"/>
      <name val="PingFang SC Regular"/>
      <charset val="134"/>
    </font>
    <font>
      <sz val="11"/>
      <color theme="1"/>
      <name val="Helvetica Neue"/>
      <charset val="134"/>
    </font>
    <font>
      <sz val="11"/>
      <color rgb="FF800080"/>
      <name val="Helvetica Neue"/>
      <charset val="134"/>
    </font>
    <font>
      <sz val="11"/>
      <color rgb="FFFF0000"/>
      <name val="Helvetica Neue"/>
      <charset val="134"/>
    </font>
    <font>
      <b/>
      <sz val="18"/>
      <color theme="3"/>
      <name val="Helvetica Neue"/>
      <charset val="134"/>
    </font>
    <font>
      <i/>
      <sz val="11"/>
      <color rgb="FF7F7F7F"/>
      <name val="Helvetica Neue"/>
      <charset val="134"/>
    </font>
    <font>
      <b/>
      <sz val="15"/>
      <color theme="3"/>
      <name val="Helvetica Neue"/>
      <charset val="134"/>
    </font>
    <font>
      <b/>
      <sz val="13"/>
      <color theme="3"/>
      <name val="Helvetica Neue"/>
      <charset val="134"/>
    </font>
    <font>
      <b/>
      <sz val="11"/>
      <color theme="3"/>
      <name val="Helvetica Neue"/>
      <charset val="134"/>
    </font>
    <font>
      <sz val="11"/>
      <color rgb="FF3F3F76"/>
      <name val="Helvetica Neue"/>
      <charset val="134"/>
    </font>
    <font>
      <b/>
      <sz val="11"/>
      <color rgb="FF3F3F3F"/>
      <name val="Helvetica Neue"/>
      <charset val="134"/>
    </font>
    <font>
      <b/>
      <sz val="11"/>
      <color rgb="FFFA7D00"/>
      <name val="Helvetica Neue"/>
      <charset val="134"/>
    </font>
    <font>
      <b/>
      <sz val="11"/>
      <color rgb="FFFFFFFF"/>
      <name val="Helvetica Neue"/>
      <charset val="134"/>
    </font>
    <font>
      <sz val="11"/>
      <color rgb="FFFA7D00"/>
      <name val="Helvetica Neue"/>
      <charset val="134"/>
    </font>
    <font>
      <b/>
      <sz val="11"/>
      <color theme="1"/>
      <name val="Helvetica Neue"/>
      <charset val="134"/>
    </font>
    <font>
      <sz val="11"/>
      <color rgb="FF006100"/>
      <name val="Helvetica Neue"/>
      <charset val="134"/>
    </font>
    <font>
      <sz val="11"/>
      <color rgb="FF9C0006"/>
      <name val="Helvetica Neue"/>
      <charset val="134"/>
    </font>
    <font>
      <sz val="11"/>
      <color rgb="FF9C6500"/>
      <name val="Helvetica Neue"/>
      <charset val="134"/>
    </font>
    <font>
      <sz val="11"/>
      <color theme="0"/>
      <name val="Helvetica Neue"/>
      <charset val="134"/>
    </font>
    <font>
      <sz val="10"/>
      <name val="宋体-简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1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10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4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6" borderId="20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7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54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49" fontId="6" fillId="0" borderId="1" xfId="6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3" xfId="0" applyFont="1" applyFill="1" applyBorder="1" applyAlignment="1">
      <alignment vertical="center" wrapText="1"/>
    </xf>
    <xf numFmtId="49" fontId="9" fillId="0" borderId="6" xfId="0" applyNumberFormat="1" applyFont="1" applyBorder="1" applyAlignment="1">
      <alignment vertical="center"/>
    </xf>
    <xf numFmtId="0" fontId="0" fillId="3" borderId="7" xfId="0" applyFont="1" applyFill="1" applyBorder="1" applyAlignment="1">
      <alignment vertical="center" wrapText="1"/>
    </xf>
    <xf numFmtId="0" fontId="0" fillId="0" borderId="8" xfId="0" applyFont="1" applyBorder="1" applyAlignment="1">
      <alignment vertical="center"/>
    </xf>
    <xf numFmtId="0" fontId="0" fillId="3" borderId="9" xfId="0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10" xfId="6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/>
    </xf>
    <xf numFmtId="2" fontId="2" fillId="2" borderId="10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NumberFormat="1" applyFont="1" applyFill="1" applyBorder="1" applyAlignment="1">
      <alignment horizontal="center" vertical="center"/>
    </xf>
    <xf numFmtId="2" fontId="2" fillId="2" borderId="14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0" borderId="1" xfId="6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2F2F2"/>
      <rgbColor rgb="00AAAAAA"/>
      <rgbColor rgb="00FFFFFF"/>
      <rgbColor rgb="000000FF"/>
      <rgbColor rgb="000026E5"/>
      <rgbColor rgb="00FF5000"/>
      <rgbColor rgb="000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reflection stA="50000" endPos="40000" dir="5400000" sy="-100000" algn="bl" rotWithShape="0"/>
          </a:effectLst>
        </a:effectStyle>
        <a:effectStyle>
          <a:effectLst>
            <a:reflection stA="50000" endPos="40000" dir="5400000" sy="-100000" algn="bl" rotWithShape="0"/>
          </a:effectLst>
        </a:effectStyle>
        <a:effectStyle>
          <a:effectLst>
            <a:outerShdw blurRad="101600" dist="50800" dir="5400000" rotWithShape="0">
              <a:schemeClr val="accent3">
                <a:alpha val="60000"/>
              </a:scheme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bbucket=10&amp;id=769096395403&amp;mi_id=0000W8kaq1vsQQbgVElZBAAdTLmZvmxyj-x2GMVs8fBk4bs&amp;ns=1&amp;priceTId=213e019f17889245819655135e1150&amp;spm=a21n57.1.hoverItem.3&amp;utparam=%7B%22aplus_abtest%22%3A%2230c4475e3f6d515c9b6e9179b0faabed%22%7D&amp;xxc=taobaoSearch&amp;skuId=5446885211548" TargetMode="External"/><Relationship Id="rId7" Type="http://schemas.openxmlformats.org/officeDocument/2006/relationships/hyperlink" Target="https://detail.tmall.com/item.htm?abbucket=10&amp;id=712748319570&amp;mi_id=0000Ij_HNVC_IC4IoNpJWg7oDYTluHh_WWLsmyEPlKRfvlY&amp;ns=1&amp;priceTId=2147846b17889242201686087e101d&amp;spm=a21n57.1.hoverItem.41&amp;utparam=%7B%22aplus_abtest%22%3A%223930d235ac8148df499502f489b66ec9%22%7D&amp;xxc=taobaoSearch&amp;skuId=6276058610589" TargetMode="External"/><Relationship Id="rId6" Type="http://schemas.openxmlformats.org/officeDocument/2006/relationships/hyperlink" Target="https://detail.tmall.com/item.htm?abbucket=10&amp;id=861510231125&amp;mi_id=00003VIRjV0sb1j1kfpC7-hfqzqIi2nwevjMLR4d5HgTmtw&amp;ns=1&amp;priceTId=2147867117889237176215529e0fa1&amp;spm=a21n57.1.hoverItem.2&amp;utparam=%7B%22aplus_abtest%22%3A%2297f4fef3315d8217371d9c5c1fd0e6e5%22%7D&amp;xxc=taobaoSearch&amp;skuId=5679756032971" TargetMode="External"/><Relationship Id="rId5" Type="http://schemas.openxmlformats.org/officeDocument/2006/relationships/hyperlink" Target="https://detail.tmall.com/item.htm?id=661535464420&amp;mi_id=0000Q32p7dhx0nHEg-nXe0TVq7WTvlYOFdCJWRa6izGXrbg&amp;skuId=4949947595281&amp;spm=a21xtw.29978516.0.0&amp;xxc=shop" TargetMode="External"/><Relationship Id="rId4" Type="http://schemas.openxmlformats.org/officeDocument/2006/relationships/hyperlink" Target="https://detail.tmall.com/item.htm?abbucket=10&amp;id=645346572889&amp;mi_id=0000twxlwsilBbD1EsLporgvnfYSeWJ4q5XcTNMaPdRm5FA&amp;ns=1&amp;priceTId=2147867117889234625638260e0fa1&amp;skuId=6076836318576&amp;spm=a21n57.1.hoverItem.5&amp;utparam=%7B%22aplus_abtest%22%3A%225e9976200c9c7b697722d76150aa444e%22%7D&amp;xxc=taobaoSearch" TargetMode="External"/><Relationship Id="rId3" Type="http://schemas.openxmlformats.org/officeDocument/2006/relationships/hyperlink" Target="https://detail.tmall.com/item.htm?abbucket=10&amp;id=748867667707&amp;mi_id=0000lFl7QjTNLsfDncpw7WR3JHEGaNctIDrGiH3i4f55Hy4&amp;ns=1&amp;priceTId=2147867117889233098781550e0fa1&amp;spm=a21n57.1.hoverItem.4&amp;utparam=%7B%22aplus_abtest%22%3A%22844d00c2734794cfc68efd6ca8f72ac2%22%7D&amp;xxc=taobaoSearch&amp;skuId=5331526026329" TargetMode="External"/><Relationship Id="rId2" Type="http://schemas.openxmlformats.org/officeDocument/2006/relationships/hyperlink" Target="https://item.taobao.com/item.htm?abbucket=10&amp;id=553559966915&amp;mi_id=0000maQNW2meKMxJoTcuyxSGTSrOZ7swbQ7mHFPNV4Ggm3c&amp;ns=1&amp;priceTId=214781de17889221327262886e104a&amp;spm=a21n57.1.hoverItem.3&amp;utparam=%7B%22aplus_abtest%22%3A%22a153aa6984b21786cf3e942b24683e56%22%7D&amp;xxc=taobaoSearch&amp;skuId=5463960671731" TargetMode="External"/><Relationship Id="rId1" Type="http://schemas.openxmlformats.org/officeDocument/2006/relationships/hyperlink" Target="https://item.taobao.com/item.htm?abbucket=10&amp;id=896754903078&amp;mi_id=0000NCv_znqVHykex9ITogo-Q31kq1qc6AFtIxvKKZkGeQE&amp;ns=1&amp;priceTId=214782e417889205924387406e1096&amp;skuId=5751680429110&amp;spm=a21n57.1.hoverItem.2&amp;utparam=%7B%22aplus_abtest%22%3A%22f386ecee692dfff30d7032bb3c6a9084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2"/>
  <sheetViews>
    <sheetView showGridLines="0" tabSelected="1" workbookViewId="0">
      <selection activeCell="F13" sqref="F13:G13"/>
    </sheetView>
  </sheetViews>
  <sheetFormatPr defaultColWidth="4.66346153846154" defaultRowHeight="16.8"/>
  <cols>
    <col min="1" max="4" width="4.67307692307692" style="1" customWidth="1"/>
    <col min="5" max="5" width="11" style="1" customWidth="1"/>
    <col min="6" max="6" width="4.67307692307692" style="1" customWidth="1"/>
    <col min="7" max="7" width="20.6730769230769" style="1" customWidth="1"/>
    <col min="8" max="16384" width="4.67307692307692" style="1" customWidth="1"/>
  </cols>
  <sheetData>
    <row r="1" ht="32" customHeight="1" spans="1: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5"/>
    </row>
    <row r="2" ht="32" customHeight="1" spans="1:21">
      <c r="A2" s="6" t="s">
        <v>1</v>
      </c>
      <c r="B2" s="7"/>
      <c r="C2" s="8" t="s">
        <v>2</v>
      </c>
      <c r="D2" s="9"/>
      <c r="E2" s="6" t="s">
        <v>3</v>
      </c>
      <c r="F2" s="7"/>
      <c r="G2" s="9"/>
      <c r="H2" s="9"/>
      <c r="I2" s="9"/>
      <c r="J2" s="6" t="s">
        <v>4</v>
      </c>
      <c r="K2" s="7"/>
      <c r="L2" s="9" t="s">
        <v>5</v>
      </c>
      <c r="M2" s="9"/>
      <c r="N2" s="6" t="s">
        <v>6</v>
      </c>
      <c r="O2" s="7"/>
      <c r="P2" s="10">
        <f>SUM(L4:M52)</f>
        <v>966.37</v>
      </c>
      <c r="Q2" s="7"/>
      <c r="R2" s="4"/>
      <c r="S2" s="5"/>
      <c r="T2" s="5"/>
      <c r="U2" s="5"/>
    </row>
    <row r="3" ht="32" customHeight="1" spans="1:21">
      <c r="A3" s="11" t="s">
        <v>7</v>
      </c>
      <c r="B3" s="11" t="s">
        <v>8</v>
      </c>
      <c r="C3" s="12"/>
      <c r="D3" s="6" t="s">
        <v>9</v>
      </c>
      <c r="E3" s="7"/>
      <c r="F3" s="6" t="s">
        <v>10</v>
      </c>
      <c r="G3" s="7"/>
      <c r="H3" s="6" t="s">
        <v>11</v>
      </c>
      <c r="I3" s="7"/>
      <c r="J3" s="6" t="s">
        <v>12</v>
      </c>
      <c r="K3" s="7"/>
      <c r="L3" s="6" t="s">
        <v>13</v>
      </c>
      <c r="M3" s="7"/>
      <c r="N3" s="6" t="s">
        <v>14</v>
      </c>
      <c r="O3" s="7"/>
      <c r="P3" s="6" t="s">
        <v>15</v>
      </c>
      <c r="Q3" s="7"/>
      <c r="R3" s="4"/>
      <c r="S3" s="5"/>
      <c r="T3" s="5"/>
      <c r="U3" s="5"/>
    </row>
    <row r="4" ht="31.85" customHeight="1" spans="1:21">
      <c r="A4" s="13">
        <v>1</v>
      </c>
      <c r="B4" s="14">
        <v>1</v>
      </c>
      <c r="C4" s="15"/>
      <c r="D4" s="16" t="s">
        <v>16</v>
      </c>
      <c r="E4" s="17"/>
      <c r="F4" s="18" t="s">
        <v>17</v>
      </c>
      <c r="G4" s="19"/>
      <c r="H4" s="20">
        <v>359</v>
      </c>
      <c r="I4" s="9"/>
      <c r="J4" s="20">
        <v>1</v>
      </c>
      <c r="K4" s="9"/>
      <c r="L4" s="10">
        <f t="shared" ref="L4:L11" si="0">IF(OR(SUM(H4:I4)=0,SUM(J4:K4)=0),"",SUM(H4:I4)*SUM(J4:K4))</f>
        <v>359</v>
      </c>
      <c r="M4" s="10"/>
      <c r="N4" s="21"/>
      <c r="O4" s="22"/>
      <c r="P4" s="23" t="s">
        <v>18</v>
      </c>
      <c r="Q4" s="24"/>
      <c r="R4" s="4"/>
      <c r="S4" s="5"/>
      <c r="T4" s="5"/>
      <c r="U4" s="5"/>
    </row>
    <row r="5" ht="31.85" customHeight="1" spans="1:21">
      <c r="A5" s="13">
        <v>4</v>
      </c>
      <c r="B5" s="14">
        <v>2</v>
      </c>
      <c r="C5" s="15"/>
      <c r="D5" s="16" t="s">
        <v>19</v>
      </c>
      <c r="E5" s="17"/>
      <c r="F5" s="25" t="s">
        <v>20</v>
      </c>
      <c r="G5" s="19"/>
      <c r="H5" s="20">
        <v>9.2</v>
      </c>
      <c r="I5" s="9"/>
      <c r="J5" s="20">
        <v>2</v>
      </c>
      <c r="K5" s="9"/>
      <c r="L5" s="10">
        <f t="shared" si="0"/>
        <v>18.4</v>
      </c>
      <c r="M5" s="10"/>
      <c r="N5" s="26"/>
      <c r="O5" s="9"/>
      <c r="P5" s="23" t="s">
        <v>21</v>
      </c>
      <c r="Q5" s="24"/>
      <c r="R5" s="4"/>
      <c r="S5" s="5"/>
      <c r="T5" s="5"/>
      <c r="U5" s="5"/>
    </row>
    <row r="6" ht="31.85" customHeight="1" spans="1:21">
      <c r="A6" s="13">
        <v>5</v>
      </c>
      <c r="B6" s="14">
        <v>3</v>
      </c>
      <c r="C6" s="15"/>
      <c r="D6" s="16" t="s">
        <v>22</v>
      </c>
      <c r="E6" s="17"/>
      <c r="F6" s="27" t="s">
        <v>23</v>
      </c>
      <c r="G6" s="19"/>
      <c r="H6" s="20">
        <v>8.9</v>
      </c>
      <c r="I6" s="9"/>
      <c r="J6" s="20">
        <v>1</v>
      </c>
      <c r="K6" s="9"/>
      <c r="L6" s="10">
        <f t="shared" si="0"/>
        <v>8.9</v>
      </c>
      <c r="M6" s="10"/>
      <c r="N6" s="26"/>
      <c r="O6" s="9"/>
      <c r="P6" s="23" t="s">
        <v>24</v>
      </c>
      <c r="Q6" s="24"/>
      <c r="R6" s="4"/>
      <c r="S6" s="5"/>
      <c r="T6" s="5"/>
      <c r="U6" s="5"/>
    </row>
    <row r="7" ht="31.85" customHeight="1" spans="1:21">
      <c r="A7" s="13">
        <v>6</v>
      </c>
      <c r="B7" s="14">
        <v>4</v>
      </c>
      <c r="C7" s="15"/>
      <c r="D7" s="28" t="s">
        <v>22</v>
      </c>
      <c r="E7" s="17"/>
      <c r="F7" s="18" t="s">
        <v>25</v>
      </c>
      <c r="G7" s="19"/>
      <c r="H7" s="20">
        <v>13.41</v>
      </c>
      <c r="I7" s="9"/>
      <c r="J7" s="20">
        <v>1</v>
      </c>
      <c r="K7" s="9"/>
      <c r="L7" s="10">
        <f t="shared" si="0"/>
        <v>13.41</v>
      </c>
      <c r="M7" s="10"/>
      <c r="N7" s="26"/>
      <c r="O7" s="9"/>
      <c r="P7" s="23" t="s">
        <v>24</v>
      </c>
      <c r="Q7" s="24"/>
      <c r="R7" s="4"/>
      <c r="S7" s="5"/>
      <c r="T7" s="5"/>
      <c r="U7" s="5"/>
    </row>
    <row r="8" ht="31.85" customHeight="1" spans="1:21">
      <c r="A8" s="13">
        <v>7</v>
      </c>
      <c r="B8" s="14">
        <v>5</v>
      </c>
      <c r="C8" s="15"/>
      <c r="D8" s="17" t="s">
        <v>26</v>
      </c>
      <c r="E8" s="17"/>
      <c r="F8" s="18" t="s">
        <v>27</v>
      </c>
      <c r="G8" s="19"/>
      <c r="H8" s="20">
        <v>85.9</v>
      </c>
      <c r="I8" s="9"/>
      <c r="J8" s="20">
        <v>3</v>
      </c>
      <c r="K8" s="9"/>
      <c r="L8" s="10">
        <f t="shared" si="0"/>
        <v>257.7</v>
      </c>
      <c r="M8" s="10"/>
      <c r="N8" s="26"/>
      <c r="O8" s="9"/>
      <c r="P8" s="23" t="s">
        <v>28</v>
      </c>
      <c r="Q8" s="24"/>
      <c r="R8" s="4"/>
      <c r="S8" s="5"/>
      <c r="T8" s="5"/>
      <c r="U8" s="5"/>
    </row>
    <row r="9" ht="31.85" customHeight="1" spans="1:21">
      <c r="A9" s="13">
        <v>8</v>
      </c>
      <c r="B9" s="14">
        <v>6</v>
      </c>
      <c r="C9" s="15"/>
      <c r="D9" s="17" t="s">
        <v>29</v>
      </c>
      <c r="E9" s="17"/>
      <c r="F9" s="25" t="s">
        <v>30</v>
      </c>
      <c r="G9" s="19"/>
      <c r="H9" s="20">
        <v>111.76</v>
      </c>
      <c r="I9" s="9"/>
      <c r="J9" s="20">
        <v>1</v>
      </c>
      <c r="K9" s="9"/>
      <c r="L9" s="10">
        <f t="shared" si="0"/>
        <v>111.76</v>
      </c>
      <c r="M9" s="10"/>
      <c r="N9" s="26"/>
      <c r="O9" s="9"/>
      <c r="P9" s="23" t="s">
        <v>31</v>
      </c>
      <c r="Q9" s="24"/>
      <c r="R9" s="4"/>
      <c r="S9" s="29"/>
      <c r="T9" s="29"/>
      <c r="U9" s="29"/>
    </row>
    <row r="10" ht="31.85" customHeight="1" spans="1:21">
      <c r="A10" s="13">
        <v>9</v>
      </c>
      <c r="B10" s="14">
        <v>7</v>
      </c>
      <c r="C10" s="15"/>
      <c r="D10" s="17" t="s">
        <v>32</v>
      </c>
      <c r="E10" s="17"/>
      <c r="F10" s="25" t="s">
        <v>33</v>
      </c>
      <c r="G10" s="19"/>
      <c r="H10" s="20">
        <v>67.1</v>
      </c>
      <c r="I10" s="9"/>
      <c r="J10" s="20">
        <v>2</v>
      </c>
      <c r="K10" s="9"/>
      <c r="L10" s="10">
        <f t="shared" si="0"/>
        <v>134.2</v>
      </c>
      <c r="M10" s="10"/>
      <c r="N10" s="9"/>
      <c r="O10" s="9"/>
      <c r="P10" s="23" t="s">
        <v>34</v>
      </c>
      <c r="Q10" s="24"/>
      <c r="R10" s="30"/>
      <c r="S10" s="31"/>
      <c r="T10" s="31"/>
      <c r="U10" s="31"/>
    </row>
    <row r="11" ht="31.85" customHeight="1" spans="1:21">
      <c r="A11" s="13">
        <v>10</v>
      </c>
      <c r="B11" s="14">
        <v>8</v>
      </c>
      <c r="C11" s="15"/>
      <c r="D11" s="17" t="s">
        <v>35</v>
      </c>
      <c r="E11" s="17"/>
      <c r="F11" s="25" t="s">
        <v>36</v>
      </c>
      <c r="G11" s="19"/>
      <c r="H11" s="20">
        <v>10.5</v>
      </c>
      <c r="I11" s="9"/>
      <c r="J11" s="20">
        <v>1</v>
      </c>
      <c r="K11" s="9"/>
      <c r="L11" s="10">
        <f t="shared" si="0"/>
        <v>10.5</v>
      </c>
      <c r="M11" s="10"/>
      <c r="N11" s="9"/>
      <c r="O11" s="9"/>
      <c r="P11" s="23" t="s">
        <v>37</v>
      </c>
      <c r="Q11" s="24"/>
      <c r="R11" s="32"/>
      <c r="S11" s="33"/>
      <c r="T11" s="33"/>
      <c r="U11" s="33"/>
    </row>
    <row r="12" ht="31.85" customHeight="1" spans="1:21">
      <c r="A12" s="13">
        <v>11</v>
      </c>
      <c r="B12" s="14">
        <v>11</v>
      </c>
      <c r="C12" s="15"/>
      <c r="D12" s="17" t="s">
        <v>38</v>
      </c>
      <c r="E12" s="17"/>
      <c r="F12" s="25" t="s">
        <v>39</v>
      </c>
      <c r="G12" s="19"/>
      <c r="H12" s="20">
        <v>10.5</v>
      </c>
      <c r="I12" s="9"/>
      <c r="J12" s="20">
        <v>5</v>
      </c>
      <c r="K12" s="9"/>
      <c r="L12" s="10">
        <f t="shared" ref="L12:L52" si="1">IF(OR(SUM(H12:I12)=0,SUM(J12:K12)=0),"",SUM(H12:I12)*SUM(J12:K12))</f>
        <v>52.5</v>
      </c>
      <c r="M12" s="10"/>
      <c r="N12" s="9"/>
      <c r="O12" s="9"/>
      <c r="P12" s="23" t="s">
        <v>40</v>
      </c>
      <c r="Q12" s="24"/>
      <c r="R12" s="4"/>
      <c r="S12" s="29"/>
      <c r="T12" s="29"/>
      <c r="U12" s="29"/>
    </row>
    <row r="13" ht="31.85" customHeight="1" spans="1:21">
      <c r="A13" s="13">
        <v>12</v>
      </c>
      <c r="B13" s="14">
        <v>12</v>
      </c>
      <c r="C13" s="15"/>
      <c r="D13" s="17"/>
      <c r="E13" s="17"/>
      <c r="F13" s="19"/>
      <c r="G13" s="19"/>
      <c r="H13" s="20"/>
      <c r="I13" s="9"/>
      <c r="J13" s="20"/>
      <c r="K13" s="9"/>
      <c r="L13" s="10" t="str">
        <f t="shared" si="1"/>
        <v/>
      </c>
      <c r="M13" s="10"/>
      <c r="N13" s="26"/>
      <c r="O13" s="9"/>
      <c r="P13" s="23"/>
      <c r="Q13" s="24"/>
      <c r="R13" s="4"/>
      <c r="S13" s="29"/>
      <c r="T13" s="29"/>
      <c r="U13" s="29"/>
    </row>
    <row r="14" ht="31.85" customHeight="1" spans="1:21">
      <c r="A14" s="13">
        <v>13</v>
      </c>
      <c r="B14" s="14">
        <v>13</v>
      </c>
      <c r="C14" s="15"/>
      <c r="D14" s="17"/>
      <c r="E14" s="17"/>
      <c r="F14" s="34"/>
      <c r="G14" s="19"/>
      <c r="H14" s="20"/>
      <c r="I14" s="9"/>
      <c r="J14" s="20"/>
      <c r="K14" s="9"/>
      <c r="L14" s="10" t="str">
        <f t="shared" si="1"/>
        <v/>
      </c>
      <c r="M14" s="10"/>
      <c r="N14" s="26"/>
      <c r="O14" s="9"/>
      <c r="P14" s="23"/>
      <c r="Q14" s="24"/>
      <c r="R14" s="4"/>
      <c r="S14" s="5"/>
      <c r="T14" s="5"/>
      <c r="U14" s="35"/>
    </row>
    <row r="15" ht="31.85" customHeight="1" spans="1:21">
      <c r="A15" s="13">
        <v>14</v>
      </c>
      <c r="B15" s="14">
        <v>14</v>
      </c>
      <c r="C15" s="15"/>
      <c r="D15" s="17"/>
      <c r="E15" s="17"/>
      <c r="F15" s="18"/>
      <c r="G15" s="19"/>
      <c r="H15" s="20"/>
      <c r="I15" s="9"/>
      <c r="J15" s="20"/>
      <c r="K15" s="9"/>
      <c r="L15" s="10" t="str">
        <f t="shared" si="1"/>
        <v/>
      </c>
      <c r="M15" s="10"/>
      <c r="N15" s="26"/>
      <c r="O15" s="9"/>
      <c r="P15" s="23"/>
      <c r="Q15" s="24"/>
      <c r="R15" s="4"/>
      <c r="S15" s="5"/>
      <c r="T15" s="5"/>
      <c r="U15" s="5"/>
    </row>
    <row r="16" ht="31.85" customHeight="1" spans="1:21">
      <c r="A16" s="13">
        <v>15</v>
      </c>
      <c r="B16" s="14">
        <v>15</v>
      </c>
      <c r="C16" s="15"/>
      <c r="D16" s="17"/>
      <c r="E16" s="17"/>
      <c r="F16" s="18"/>
      <c r="G16" s="19"/>
      <c r="H16" s="20"/>
      <c r="I16" s="9"/>
      <c r="J16" s="20"/>
      <c r="K16" s="9"/>
      <c r="L16" s="10" t="str">
        <f t="shared" si="1"/>
        <v/>
      </c>
      <c r="M16" s="10"/>
      <c r="N16" s="26"/>
      <c r="O16" s="9"/>
      <c r="P16" s="23"/>
      <c r="Q16" s="24"/>
      <c r="R16" s="4"/>
      <c r="S16" s="5"/>
      <c r="T16" s="5"/>
      <c r="U16" s="5"/>
    </row>
    <row r="17" ht="31.85" customHeight="1" spans="1:21">
      <c r="A17" s="13">
        <v>16</v>
      </c>
      <c r="B17" s="14">
        <v>16</v>
      </c>
      <c r="C17" s="15"/>
      <c r="D17" s="17"/>
      <c r="E17" s="17"/>
      <c r="F17" s="18"/>
      <c r="G17" s="19"/>
      <c r="H17" s="20"/>
      <c r="I17" s="9"/>
      <c r="J17" s="20"/>
      <c r="K17" s="9"/>
      <c r="L17" s="10" t="str">
        <f t="shared" si="1"/>
        <v/>
      </c>
      <c r="M17" s="10"/>
      <c r="N17" s="26"/>
      <c r="O17" s="9"/>
      <c r="P17" s="23"/>
      <c r="Q17" s="24"/>
      <c r="R17" s="4"/>
      <c r="S17" s="5"/>
      <c r="T17" s="5"/>
      <c r="U17" s="5"/>
    </row>
    <row r="18" ht="31.85" customHeight="1" spans="1:21">
      <c r="A18" s="13">
        <v>17</v>
      </c>
      <c r="B18" s="14">
        <v>17</v>
      </c>
      <c r="C18" s="15"/>
      <c r="D18" s="17"/>
      <c r="E18" s="17"/>
      <c r="F18" s="18"/>
      <c r="G18" s="19"/>
      <c r="H18" s="20"/>
      <c r="I18" s="9"/>
      <c r="J18" s="20"/>
      <c r="K18" s="9"/>
      <c r="L18" s="10" t="str">
        <f t="shared" si="1"/>
        <v/>
      </c>
      <c r="M18" s="10"/>
      <c r="N18" s="26"/>
      <c r="O18" s="9"/>
      <c r="P18" s="23"/>
      <c r="Q18" s="24"/>
      <c r="R18" s="4"/>
      <c r="S18" s="5"/>
      <c r="T18" s="5"/>
      <c r="U18" s="5"/>
    </row>
    <row r="19" ht="31.85" customHeight="1" spans="1:21">
      <c r="A19" s="13">
        <v>18</v>
      </c>
      <c r="B19" s="14">
        <v>18</v>
      </c>
      <c r="C19" s="15"/>
      <c r="D19" s="17"/>
      <c r="E19" s="17"/>
      <c r="F19" s="18"/>
      <c r="G19" s="19"/>
      <c r="H19" s="20"/>
      <c r="I19" s="9"/>
      <c r="J19" s="20"/>
      <c r="K19" s="9"/>
      <c r="L19" s="10" t="str">
        <f t="shared" si="1"/>
        <v/>
      </c>
      <c r="M19" s="10"/>
      <c r="N19" s="26"/>
      <c r="O19" s="9"/>
      <c r="P19" s="23"/>
      <c r="Q19" s="24"/>
      <c r="R19" s="4"/>
      <c r="S19" s="5"/>
      <c r="T19" s="5"/>
      <c r="U19" s="5"/>
    </row>
    <row r="20" ht="31.85" customHeight="1" spans="1:21">
      <c r="A20" s="13">
        <v>19</v>
      </c>
      <c r="B20" s="14">
        <v>19</v>
      </c>
      <c r="C20" s="15"/>
      <c r="D20" s="17"/>
      <c r="E20" s="17"/>
      <c r="F20" s="18"/>
      <c r="G20" s="19"/>
      <c r="H20" s="20"/>
      <c r="I20" s="9"/>
      <c r="J20" s="20"/>
      <c r="K20" s="9"/>
      <c r="L20" s="10" t="str">
        <f t="shared" si="1"/>
        <v/>
      </c>
      <c r="M20" s="10"/>
      <c r="N20" s="9"/>
      <c r="O20" s="9"/>
      <c r="P20" s="23"/>
      <c r="Q20" s="24"/>
      <c r="R20" s="4"/>
      <c r="S20" s="5"/>
      <c r="T20" s="5"/>
      <c r="U20" s="5"/>
    </row>
    <row r="21" ht="31.85" customHeight="1" spans="1:21">
      <c r="A21" s="13">
        <v>20</v>
      </c>
      <c r="B21" s="14">
        <v>20</v>
      </c>
      <c r="C21" s="15"/>
      <c r="D21" s="17"/>
      <c r="E21" s="17"/>
      <c r="F21" s="18"/>
      <c r="G21" s="19"/>
      <c r="H21" s="20"/>
      <c r="I21" s="9"/>
      <c r="J21" s="20"/>
      <c r="K21" s="9"/>
      <c r="L21" s="10" t="str">
        <f t="shared" si="1"/>
        <v/>
      </c>
      <c r="M21" s="10"/>
      <c r="N21" s="9"/>
      <c r="O21" s="9"/>
      <c r="P21" s="23"/>
      <c r="Q21" s="24"/>
      <c r="R21" s="4"/>
      <c r="S21" s="5"/>
      <c r="T21" s="5"/>
      <c r="U21" s="5"/>
    </row>
    <row r="22" ht="31.85" customHeight="1" spans="1:21">
      <c r="A22" s="13">
        <v>21</v>
      </c>
      <c r="B22" s="14">
        <v>21</v>
      </c>
      <c r="C22" s="15"/>
      <c r="D22" s="17"/>
      <c r="E22" s="17"/>
      <c r="F22" s="36"/>
      <c r="G22" s="37"/>
      <c r="H22" s="38"/>
      <c r="I22" s="38"/>
      <c r="J22" s="38"/>
      <c r="K22" s="38"/>
      <c r="L22" s="10" t="str">
        <f t="shared" si="1"/>
        <v/>
      </c>
      <c r="M22" s="10"/>
      <c r="N22" s="38"/>
      <c r="O22" s="38"/>
      <c r="P22" s="39"/>
      <c r="Q22" s="40"/>
      <c r="R22" s="4"/>
      <c r="S22" s="5"/>
      <c r="T22" s="5"/>
      <c r="U22" s="5"/>
    </row>
    <row r="23" ht="31.85" customHeight="1" spans="1:21">
      <c r="A23" s="13">
        <v>22</v>
      </c>
      <c r="B23" s="41"/>
      <c r="C23" s="42"/>
      <c r="D23" s="17"/>
      <c r="E23" s="17"/>
      <c r="F23" s="43"/>
      <c r="G23" s="38"/>
      <c r="H23" s="38"/>
      <c r="I23" s="38"/>
      <c r="J23" s="38"/>
      <c r="K23" s="38"/>
      <c r="L23" s="44" t="str">
        <f t="shared" si="1"/>
        <v/>
      </c>
      <c r="M23" s="44"/>
      <c r="N23" s="38"/>
      <c r="O23" s="38"/>
      <c r="P23" s="39"/>
      <c r="Q23" s="40"/>
      <c r="R23" s="4"/>
      <c r="S23" s="5"/>
      <c r="T23" s="5"/>
      <c r="U23" s="5"/>
    </row>
    <row r="24" ht="32" customHeight="1" spans="1:21">
      <c r="A24" s="13">
        <v>23</v>
      </c>
      <c r="B24" s="41"/>
      <c r="C24" s="42"/>
      <c r="D24" s="38"/>
      <c r="E24" s="38"/>
      <c r="F24" s="43"/>
      <c r="G24" s="38"/>
      <c r="H24" s="38"/>
      <c r="I24" s="38"/>
      <c r="J24" s="38"/>
      <c r="K24" s="38"/>
      <c r="L24" s="44" t="str">
        <f t="shared" si="1"/>
        <v/>
      </c>
      <c r="M24" s="44"/>
      <c r="N24" s="38"/>
      <c r="O24" s="38"/>
      <c r="P24" s="39"/>
      <c r="Q24" s="40"/>
      <c r="R24" s="4"/>
      <c r="S24" s="5"/>
      <c r="T24" s="5"/>
      <c r="U24" s="5"/>
    </row>
    <row r="25" ht="32" customHeight="1" spans="1:21">
      <c r="A25" s="13">
        <v>24</v>
      </c>
      <c r="B25" s="41"/>
      <c r="C25" s="42"/>
      <c r="D25" s="38"/>
      <c r="E25" s="38"/>
      <c r="F25" s="43"/>
      <c r="G25" s="38"/>
      <c r="H25" s="38"/>
      <c r="I25" s="38"/>
      <c r="J25" s="38"/>
      <c r="K25" s="38"/>
      <c r="L25" s="44" t="str">
        <f t="shared" si="1"/>
        <v/>
      </c>
      <c r="M25" s="44"/>
      <c r="N25" s="38"/>
      <c r="O25" s="38"/>
      <c r="P25" s="39"/>
      <c r="Q25" s="40"/>
      <c r="R25" s="4"/>
      <c r="S25" s="5"/>
      <c r="T25" s="5"/>
      <c r="U25" s="5"/>
    </row>
    <row r="26" ht="32" customHeight="1" spans="1:21">
      <c r="A26" s="13">
        <v>25</v>
      </c>
      <c r="B26" s="41"/>
      <c r="C26" s="42"/>
      <c r="D26" s="38"/>
      <c r="E26" s="38"/>
      <c r="F26" s="43"/>
      <c r="G26" s="38"/>
      <c r="H26" s="38"/>
      <c r="I26" s="38"/>
      <c r="J26" s="38"/>
      <c r="K26" s="38"/>
      <c r="L26" s="44" t="str">
        <f t="shared" si="1"/>
        <v/>
      </c>
      <c r="M26" s="44"/>
      <c r="N26" s="38"/>
      <c r="O26" s="38"/>
      <c r="P26" s="38"/>
      <c r="Q26" s="40"/>
      <c r="R26" s="4"/>
      <c r="S26" s="5"/>
      <c r="T26" s="5"/>
      <c r="U26" s="5"/>
    </row>
    <row r="27" ht="32" customHeight="1" spans="1:21">
      <c r="A27" s="11" t="s">
        <v>7</v>
      </c>
      <c r="B27" s="45"/>
      <c r="C27" s="46"/>
      <c r="D27" s="47"/>
      <c r="E27" s="48"/>
      <c r="F27" s="49"/>
      <c r="G27" s="48"/>
      <c r="H27" s="47"/>
      <c r="I27" s="48"/>
      <c r="J27" s="47"/>
      <c r="K27" s="48"/>
      <c r="L27" s="50" t="str">
        <f t="shared" si="1"/>
        <v/>
      </c>
      <c r="M27" s="50"/>
      <c r="N27" s="47"/>
      <c r="O27" s="48"/>
      <c r="P27" s="47"/>
      <c r="Q27" s="51"/>
      <c r="R27" s="4"/>
      <c r="S27" s="5"/>
      <c r="T27" s="5"/>
      <c r="U27" s="5"/>
    </row>
    <row r="28" ht="32" customHeight="1" spans="1:21">
      <c r="A28" s="13">
        <v>26</v>
      </c>
      <c r="B28" s="41"/>
      <c r="C28" s="42"/>
      <c r="D28" s="38"/>
      <c r="E28" s="38"/>
      <c r="F28" s="43"/>
      <c r="G28" s="38"/>
      <c r="H28" s="38"/>
      <c r="I28" s="38"/>
      <c r="J28" s="38"/>
      <c r="K28" s="38"/>
      <c r="L28" s="44" t="str">
        <f t="shared" si="1"/>
        <v/>
      </c>
      <c r="M28" s="44"/>
      <c r="N28" s="38"/>
      <c r="O28" s="38"/>
      <c r="P28" s="39"/>
      <c r="Q28" s="40"/>
      <c r="R28" s="4"/>
      <c r="S28" s="5"/>
      <c r="T28" s="5"/>
      <c r="U28" s="5"/>
    </row>
    <row r="29" ht="32" customHeight="1" spans="1:21">
      <c r="A29" s="13">
        <v>27</v>
      </c>
      <c r="B29" s="41"/>
      <c r="C29" s="42"/>
      <c r="D29" s="38"/>
      <c r="E29" s="38"/>
      <c r="F29" s="43"/>
      <c r="G29" s="38"/>
      <c r="H29" s="38"/>
      <c r="I29" s="38"/>
      <c r="J29" s="38"/>
      <c r="K29" s="38"/>
      <c r="L29" s="44" t="str">
        <f t="shared" si="1"/>
        <v/>
      </c>
      <c r="M29" s="44"/>
      <c r="N29" s="38"/>
      <c r="O29" s="38"/>
      <c r="P29" s="39"/>
      <c r="Q29" s="40"/>
      <c r="R29" s="4"/>
      <c r="S29" s="5"/>
      <c r="T29" s="5"/>
      <c r="U29" s="5"/>
    </row>
    <row r="30" ht="32" customHeight="1" spans="1:21">
      <c r="A30" s="13">
        <v>28</v>
      </c>
      <c r="B30" s="41"/>
      <c r="C30" s="42"/>
      <c r="D30" s="38"/>
      <c r="E30" s="38"/>
      <c r="F30" s="43"/>
      <c r="G30" s="38"/>
      <c r="H30" s="38"/>
      <c r="I30" s="38"/>
      <c r="J30" s="38"/>
      <c r="K30" s="38"/>
      <c r="L30" s="44" t="str">
        <f t="shared" si="1"/>
        <v/>
      </c>
      <c r="M30" s="44"/>
      <c r="N30" s="38"/>
      <c r="O30" s="38"/>
      <c r="P30" s="39"/>
      <c r="Q30" s="40"/>
      <c r="R30" s="4"/>
      <c r="S30" s="5"/>
      <c r="T30" s="5"/>
      <c r="U30" s="5"/>
    </row>
    <row r="31" ht="32" customHeight="1" spans="1:21">
      <c r="A31" s="13">
        <v>29</v>
      </c>
      <c r="B31" s="52"/>
      <c r="C31" s="15"/>
      <c r="D31" s="9"/>
      <c r="E31" s="9"/>
      <c r="F31" s="9"/>
      <c r="G31" s="9"/>
      <c r="H31" s="20"/>
      <c r="I31" s="9"/>
      <c r="J31" s="20"/>
      <c r="K31" s="9"/>
      <c r="L31" s="10" t="str">
        <f t="shared" si="1"/>
        <v/>
      </c>
      <c r="M31" s="10"/>
      <c r="N31" s="9"/>
      <c r="O31" s="9"/>
      <c r="P31" s="53"/>
      <c r="Q31" s="9"/>
      <c r="R31" s="4"/>
      <c r="S31" s="5"/>
      <c r="T31" s="5"/>
      <c r="U31" s="5"/>
    </row>
    <row r="32" ht="32" customHeight="1" spans="1:21">
      <c r="A32" s="13">
        <v>30</v>
      </c>
      <c r="B32" s="52"/>
      <c r="C32" s="15"/>
      <c r="D32" s="9"/>
      <c r="E32" s="9"/>
      <c r="F32" s="9"/>
      <c r="G32" s="9"/>
      <c r="H32" s="20"/>
      <c r="I32" s="9"/>
      <c r="J32" s="20"/>
      <c r="K32" s="9"/>
      <c r="L32" s="10" t="str">
        <f t="shared" si="1"/>
        <v/>
      </c>
      <c r="M32" s="10"/>
      <c r="N32" s="9"/>
      <c r="O32" s="9"/>
      <c r="P32" s="53"/>
      <c r="Q32" s="9"/>
      <c r="R32" s="4"/>
      <c r="S32" s="5"/>
      <c r="T32" s="5"/>
      <c r="U32" s="5"/>
    </row>
    <row r="33" ht="32" customHeight="1" spans="1:21">
      <c r="A33" s="13">
        <v>31</v>
      </c>
      <c r="B33" s="52"/>
      <c r="C33" s="15"/>
      <c r="D33" s="9"/>
      <c r="E33" s="9"/>
      <c r="F33" s="9"/>
      <c r="G33" s="9"/>
      <c r="H33" s="20"/>
      <c r="I33" s="9"/>
      <c r="J33" s="20"/>
      <c r="K33" s="9"/>
      <c r="L33" s="10" t="str">
        <f t="shared" si="1"/>
        <v/>
      </c>
      <c r="M33" s="10"/>
      <c r="N33" s="9"/>
      <c r="O33" s="9"/>
      <c r="P33" s="53"/>
      <c r="Q33" s="9"/>
      <c r="R33" s="4"/>
      <c r="S33" s="5"/>
      <c r="T33" s="5"/>
      <c r="U33" s="5"/>
    </row>
    <row r="34" ht="32" customHeight="1" spans="1:21">
      <c r="A34" s="13">
        <v>32</v>
      </c>
      <c r="B34" s="52"/>
      <c r="C34" s="15"/>
      <c r="D34" s="9"/>
      <c r="E34" s="9"/>
      <c r="F34" s="9"/>
      <c r="G34" s="9"/>
      <c r="H34" s="20"/>
      <c r="I34" s="9"/>
      <c r="J34" s="20"/>
      <c r="K34" s="9"/>
      <c r="L34" s="10" t="str">
        <f t="shared" si="1"/>
        <v/>
      </c>
      <c r="M34" s="10"/>
      <c r="N34" s="9"/>
      <c r="O34" s="9"/>
      <c r="P34" s="53"/>
      <c r="Q34" s="9"/>
      <c r="R34" s="4"/>
      <c r="S34" s="5"/>
      <c r="T34" s="5"/>
      <c r="U34" s="5"/>
    </row>
    <row r="35" ht="32" customHeight="1" spans="1:21">
      <c r="A35" s="13">
        <v>33</v>
      </c>
      <c r="B35" s="52"/>
      <c r="C35" s="15"/>
      <c r="D35" s="9"/>
      <c r="E35" s="9"/>
      <c r="F35" s="9"/>
      <c r="G35" s="9"/>
      <c r="H35" s="20"/>
      <c r="I35" s="9"/>
      <c r="J35" s="20"/>
      <c r="K35" s="9"/>
      <c r="L35" s="10" t="str">
        <f t="shared" si="1"/>
        <v/>
      </c>
      <c r="M35" s="10"/>
      <c r="N35" s="9"/>
      <c r="O35" s="9"/>
      <c r="P35" s="53"/>
      <c r="Q35" s="9"/>
      <c r="R35" s="4"/>
      <c r="S35" s="5"/>
      <c r="T35" s="5"/>
      <c r="U35" s="5"/>
    </row>
    <row r="36" ht="32" customHeight="1" spans="1:21">
      <c r="A36" s="13">
        <v>34</v>
      </c>
      <c r="B36" s="52"/>
      <c r="C36" s="15"/>
      <c r="D36" s="9"/>
      <c r="E36" s="9"/>
      <c r="F36" s="9"/>
      <c r="G36" s="9"/>
      <c r="H36" s="20"/>
      <c r="I36" s="9"/>
      <c r="J36" s="20"/>
      <c r="K36" s="9"/>
      <c r="L36" s="10" t="str">
        <f t="shared" si="1"/>
        <v/>
      </c>
      <c r="M36" s="10"/>
      <c r="N36" s="9"/>
      <c r="O36" s="9"/>
      <c r="P36" s="53"/>
      <c r="Q36" s="9"/>
      <c r="R36" s="4"/>
      <c r="S36" s="5"/>
      <c r="T36" s="5"/>
      <c r="U36" s="5"/>
    </row>
    <row r="37" ht="32" customHeight="1" spans="1:21">
      <c r="A37" s="13">
        <v>35</v>
      </c>
      <c r="B37" s="52"/>
      <c r="C37" s="15"/>
      <c r="D37" s="9"/>
      <c r="E37" s="9"/>
      <c r="F37" s="9"/>
      <c r="G37" s="9"/>
      <c r="H37" s="20"/>
      <c r="I37" s="9"/>
      <c r="J37" s="20"/>
      <c r="K37" s="9"/>
      <c r="L37" s="10" t="str">
        <f t="shared" si="1"/>
        <v/>
      </c>
      <c r="M37" s="10"/>
      <c r="N37" s="9"/>
      <c r="O37" s="9"/>
      <c r="P37" s="53"/>
      <c r="Q37" s="9"/>
      <c r="R37" s="4"/>
      <c r="S37" s="5"/>
      <c r="T37" s="5"/>
      <c r="U37" s="5"/>
    </row>
    <row r="38" ht="32" customHeight="1" spans="1:21">
      <c r="A38" s="13">
        <v>36</v>
      </c>
      <c r="B38" s="52"/>
      <c r="C38" s="15"/>
      <c r="D38" s="9"/>
      <c r="E38" s="9"/>
      <c r="F38" s="9"/>
      <c r="G38" s="9"/>
      <c r="H38" s="20"/>
      <c r="I38" s="9"/>
      <c r="J38" s="20"/>
      <c r="K38" s="9"/>
      <c r="L38" s="10" t="str">
        <f t="shared" si="1"/>
        <v/>
      </c>
      <c r="M38" s="10"/>
      <c r="N38" s="9"/>
      <c r="O38" s="9"/>
      <c r="P38" s="9"/>
      <c r="Q38" s="9"/>
      <c r="R38" s="4"/>
      <c r="S38" s="5"/>
      <c r="T38" s="5"/>
      <c r="U38" s="5"/>
    </row>
    <row r="39" ht="32" customHeight="1" spans="1:21">
      <c r="A39" s="13">
        <v>37</v>
      </c>
      <c r="B39" s="52"/>
      <c r="C39" s="15"/>
      <c r="D39" s="9"/>
      <c r="E39" s="9"/>
      <c r="F39" s="9"/>
      <c r="G39" s="9"/>
      <c r="H39" s="20"/>
      <c r="I39" s="9"/>
      <c r="J39" s="20"/>
      <c r="K39" s="9"/>
      <c r="L39" s="10" t="str">
        <f t="shared" si="1"/>
        <v/>
      </c>
      <c r="M39" s="10"/>
      <c r="N39" s="9"/>
      <c r="O39" s="9"/>
      <c r="P39" s="9"/>
      <c r="Q39" s="9"/>
      <c r="R39" s="4"/>
      <c r="S39" s="5"/>
      <c r="T39" s="5"/>
      <c r="U39" s="5"/>
    </row>
    <row r="40" ht="32" customHeight="1" spans="1:21">
      <c r="A40" s="13">
        <v>38</v>
      </c>
      <c r="B40" s="52"/>
      <c r="C40" s="15"/>
      <c r="D40" s="9"/>
      <c r="E40" s="9"/>
      <c r="F40" s="9"/>
      <c r="G40" s="9"/>
      <c r="H40" s="20"/>
      <c r="I40" s="9"/>
      <c r="J40" s="20"/>
      <c r="K40" s="9"/>
      <c r="L40" s="10" t="str">
        <f t="shared" si="1"/>
        <v/>
      </c>
      <c r="M40" s="10"/>
      <c r="N40" s="9"/>
      <c r="O40" s="9"/>
      <c r="P40" s="9"/>
      <c r="Q40" s="9"/>
      <c r="R40" s="4"/>
      <c r="S40" s="5"/>
      <c r="T40" s="5"/>
      <c r="U40" s="5"/>
    </row>
    <row r="41" ht="32" customHeight="1" spans="1:21">
      <c r="A41" s="13">
        <v>39</v>
      </c>
      <c r="B41" s="52"/>
      <c r="C41" s="15"/>
      <c r="D41" s="9"/>
      <c r="E41" s="9"/>
      <c r="F41" s="9"/>
      <c r="G41" s="9"/>
      <c r="H41" s="20"/>
      <c r="I41" s="9"/>
      <c r="J41" s="20"/>
      <c r="K41" s="9"/>
      <c r="L41" s="10" t="str">
        <f t="shared" si="1"/>
        <v/>
      </c>
      <c r="M41" s="10"/>
      <c r="N41" s="9"/>
      <c r="O41" s="9"/>
      <c r="P41" s="9"/>
      <c r="Q41" s="9"/>
      <c r="R41" s="4"/>
      <c r="S41" s="5"/>
      <c r="T41" s="5"/>
      <c r="U41" s="5"/>
    </row>
    <row r="42" ht="32" customHeight="1" spans="1:21">
      <c r="A42" s="13">
        <v>40</v>
      </c>
      <c r="B42" s="52"/>
      <c r="C42" s="15"/>
      <c r="D42" s="9"/>
      <c r="E42" s="9"/>
      <c r="F42" s="9"/>
      <c r="G42" s="9"/>
      <c r="H42" s="20"/>
      <c r="I42" s="9"/>
      <c r="J42" s="20"/>
      <c r="K42" s="9"/>
      <c r="L42" s="10" t="str">
        <f t="shared" si="1"/>
        <v/>
      </c>
      <c r="M42" s="10"/>
      <c r="N42" s="9"/>
      <c r="O42" s="9"/>
      <c r="P42" s="9"/>
      <c r="Q42" s="9"/>
      <c r="R42" s="4"/>
      <c r="S42" s="5"/>
      <c r="T42" s="5"/>
      <c r="U42" s="5"/>
    </row>
    <row r="43" ht="32" customHeight="1" spans="1:21">
      <c r="A43" s="13">
        <v>41</v>
      </c>
      <c r="B43" s="52"/>
      <c r="C43" s="15"/>
      <c r="D43" s="9"/>
      <c r="E43" s="9"/>
      <c r="F43" s="9"/>
      <c r="G43" s="9"/>
      <c r="H43" s="20"/>
      <c r="I43" s="9"/>
      <c r="J43" s="20"/>
      <c r="K43" s="9"/>
      <c r="L43" s="10" t="str">
        <f t="shared" si="1"/>
        <v/>
      </c>
      <c r="M43" s="10"/>
      <c r="N43" s="9"/>
      <c r="O43" s="9"/>
      <c r="P43" s="9"/>
      <c r="Q43" s="9"/>
      <c r="R43" s="4"/>
      <c r="S43" s="5"/>
      <c r="T43" s="5"/>
      <c r="U43" s="5"/>
    </row>
    <row r="44" ht="32" customHeight="1" spans="1:21">
      <c r="A44" s="13">
        <v>42</v>
      </c>
      <c r="B44" s="52"/>
      <c r="C44" s="15"/>
      <c r="D44" s="9"/>
      <c r="E44" s="9"/>
      <c r="F44" s="9"/>
      <c r="G44" s="9"/>
      <c r="H44" s="20"/>
      <c r="I44" s="9"/>
      <c r="J44" s="20"/>
      <c r="K44" s="9"/>
      <c r="L44" s="10" t="str">
        <f t="shared" si="1"/>
        <v/>
      </c>
      <c r="M44" s="10"/>
      <c r="N44" s="9"/>
      <c r="O44" s="9"/>
      <c r="P44" s="9"/>
      <c r="Q44" s="9"/>
      <c r="R44" s="4"/>
      <c r="S44" s="5"/>
      <c r="T44" s="5"/>
      <c r="U44" s="5"/>
    </row>
    <row r="45" ht="32" customHeight="1" spans="1:21">
      <c r="A45" s="13">
        <v>43</v>
      </c>
      <c r="B45" s="52"/>
      <c r="C45" s="15"/>
      <c r="D45" s="9"/>
      <c r="E45" s="9"/>
      <c r="F45" s="9"/>
      <c r="G45" s="9"/>
      <c r="H45" s="20"/>
      <c r="I45" s="9"/>
      <c r="J45" s="20"/>
      <c r="K45" s="9"/>
      <c r="L45" s="10" t="str">
        <f t="shared" si="1"/>
        <v/>
      </c>
      <c r="M45" s="10"/>
      <c r="N45" s="9"/>
      <c r="O45" s="9"/>
      <c r="P45" s="9"/>
      <c r="Q45" s="9"/>
      <c r="R45" s="4"/>
      <c r="S45" s="5"/>
      <c r="T45" s="5"/>
      <c r="U45" s="5"/>
    </row>
    <row r="46" ht="32" customHeight="1" spans="1:21">
      <c r="A46" s="13">
        <v>44</v>
      </c>
      <c r="B46" s="52"/>
      <c r="C46" s="15"/>
      <c r="D46" s="9"/>
      <c r="E46" s="9"/>
      <c r="F46" s="9"/>
      <c r="G46" s="9"/>
      <c r="H46" s="20"/>
      <c r="I46" s="9"/>
      <c r="J46" s="20"/>
      <c r="K46" s="9"/>
      <c r="L46" s="10" t="str">
        <f t="shared" si="1"/>
        <v/>
      </c>
      <c r="M46" s="10"/>
      <c r="N46" s="9"/>
      <c r="O46" s="9"/>
      <c r="P46" s="9"/>
      <c r="Q46" s="9"/>
      <c r="R46" s="4"/>
      <c r="S46" s="5"/>
      <c r="T46" s="5"/>
      <c r="U46" s="5"/>
    </row>
    <row r="47" ht="32" customHeight="1" spans="1:21">
      <c r="A47" s="13">
        <v>45</v>
      </c>
      <c r="B47" s="52"/>
      <c r="C47" s="15"/>
      <c r="D47" s="9"/>
      <c r="E47" s="9"/>
      <c r="F47" s="9"/>
      <c r="G47" s="9"/>
      <c r="H47" s="20"/>
      <c r="I47" s="9"/>
      <c r="J47" s="20"/>
      <c r="K47" s="9"/>
      <c r="L47" s="10" t="str">
        <f t="shared" si="1"/>
        <v/>
      </c>
      <c r="M47" s="10"/>
      <c r="N47" s="9"/>
      <c r="O47" s="9"/>
      <c r="P47" s="9"/>
      <c r="Q47" s="9"/>
      <c r="R47" s="4"/>
      <c r="S47" s="5"/>
      <c r="T47" s="5"/>
      <c r="U47" s="5"/>
    </row>
    <row r="48" ht="32" customHeight="1" spans="1:21">
      <c r="A48" s="13">
        <v>46</v>
      </c>
      <c r="B48" s="52"/>
      <c r="C48" s="15"/>
      <c r="D48" s="9"/>
      <c r="E48" s="9"/>
      <c r="F48" s="9"/>
      <c r="G48" s="9"/>
      <c r="H48" s="20"/>
      <c r="I48" s="9"/>
      <c r="J48" s="20"/>
      <c r="K48" s="9"/>
      <c r="L48" s="10" t="str">
        <f t="shared" si="1"/>
        <v/>
      </c>
      <c r="M48" s="10"/>
      <c r="N48" s="9"/>
      <c r="O48" s="9"/>
      <c r="P48" s="9"/>
      <c r="Q48" s="9"/>
      <c r="R48" s="4"/>
      <c r="S48" s="5"/>
      <c r="T48" s="5"/>
      <c r="U48" s="5"/>
    </row>
    <row r="49" ht="32" customHeight="1" spans="1:21">
      <c r="A49" s="13">
        <v>47</v>
      </c>
      <c r="B49" s="52"/>
      <c r="C49" s="15"/>
      <c r="D49" s="9"/>
      <c r="E49" s="9"/>
      <c r="F49" s="9"/>
      <c r="G49" s="9"/>
      <c r="H49" s="20"/>
      <c r="I49" s="9"/>
      <c r="J49" s="20"/>
      <c r="K49" s="9"/>
      <c r="L49" s="10" t="str">
        <f t="shared" si="1"/>
        <v/>
      </c>
      <c r="M49" s="10"/>
      <c r="N49" s="9"/>
      <c r="O49" s="9"/>
      <c r="P49" s="9"/>
      <c r="Q49" s="9"/>
      <c r="R49" s="4"/>
      <c r="S49" s="5"/>
      <c r="T49" s="5"/>
      <c r="U49" s="5"/>
    </row>
    <row r="50" ht="32" customHeight="1" spans="1:21">
      <c r="A50" s="13">
        <v>48</v>
      </c>
      <c r="B50" s="52"/>
      <c r="C50" s="15"/>
      <c r="D50" s="9"/>
      <c r="E50" s="9"/>
      <c r="F50" s="9"/>
      <c r="G50" s="9"/>
      <c r="H50" s="20"/>
      <c r="I50" s="9"/>
      <c r="J50" s="20"/>
      <c r="K50" s="9"/>
      <c r="L50" s="10" t="str">
        <f t="shared" si="1"/>
        <v/>
      </c>
      <c r="M50" s="10"/>
      <c r="N50" s="9"/>
      <c r="O50" s="9"/>
      <c r="P50" s="9"/>
      <c r="Q50" s="9"/>
      <c r="R50" s="4"/>
      <c r="S50" s="5"/>
      <c r="T50" s="5"/>
      <c r="U50" s="5"/>
    </row>
    <row r="51" ht="32" customHeight="1" spans="1:21">
      <c r="A51" s="13">
        <v>49</v>
      </c>
      <c r="B51" s="41"/>
      <c r="C51" s="42"/>
      <c r="D51" s="38"/>
      <c r="E51" s="38"/>
      <c r="F51" s="43"/>
      <c r="G51" s="38"/>
      <c r="H51" s="38"/>
      <c r="I51" s="38"/>
      <c r="J51" s="38"/>
      <c r="K51" s="38"/>
      <c r="L51" s="44" t="str">
        <f t="shared" si="1"/>
        <v/>
      </c>
      <c r="M51" s="44"/>
      <c r="N51" s="38"/>
      <c r="O51" s="38"/>
      <c r="P51" s="38"/>
      <c r="Q51" s="40"/>
      <c r="R51" s="4"/>
      <c r="S51" s="5"/>
      <c r="T51" s="5"/>
      <c r="U51" s="5"/>
    </row>
    <row r="52" ht="32" customHeight="1" spans="1:21">
      <c r="A52" s="13">
        <v>50</v>
      </c>
      <c r="B52" s="41"/>
      <c r="C52" s="42"/>
      <c r="D52" s="38"/>
      <c r="E52" s="38"/>
      <c r="F52" s="43"/>
      <c r="G52" s="38"/>
      <c r="H52" s="38"/>
      <c r="I52" s="38"/>
      <c r="J52" s="38"/>
      <c r="K52" s="38"/>
      <c r="L52" s="44" t="str">
        <f t="shared" si="1"/>
        <v/>
      </c>
      <c r="M52" s="44"/>
      <c r="N52" s="38"/>
      <c r="O52" s="38"/>
      <c r="P52" s="38"/>
      <c r="Q52" s="40"/>
      <c r="R52" s="4"/>
      <c r="S52" s="5"/>
      <c r="T52" s="5"/>
      <c r="U52" s="5"/>
    </row>
  </sheetData>
  <mergeCells count="409">
    <mergeCell ref="A1:Q1"/>
    <mergeCell ref="A2:B2"/>
    <mergeCell ref="C2:D2"/>
    <mergeCell ref="E2:F2"/>
    <mergeCell ref="G2:I2"/>
    <mergeCell ref="J2:K2"/>
    <mergeCell ref="L2:M2"/>
    <mergeCell ref="N2:O2"/>
    <mergeCell ref="P2:Q2"/>
    <mergeCell ref="B3:C3"/>
    <mergeCell ref="D3:E3"/>
    <mergeCell ref="F3:G3"/>
    <mergeCell ref="H3:I3"/>
    <mergeCell ref="J3:K3"/>
    <mergeCell ref="L3:M3"/>
    <mergeCell ref="N3:O3"/>
    <mergeCell ref="P3:Q3"/>
    <mergeCell ref="B4:C4"/>
    <mergeCell ref="D4:E4"/>
    <mergeCell ref="F4:G4"/>
    <mergeCell ref="H4:I4"/>
    <mergeCell ref="J4:K4"/>
    <mergeCell ref="L4:M4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9:C9"/>
    <mergeCell ref="D9:E9"/>
    <mergeCell ref="F9:G9"/>
    <mergeCell ref="H9:I9"/>
    <mergeCell ref="J9:K9"/>
    <mergeCell ref="L9:M9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4:C14"/>
    <mergeCell ref="D14:E14"/>
    <mergeCell ref="F14:G14"/>
    <mergeCell ref="H14:I14"/>
    <mergeCell ref="J14:K14"/>
    <mergeCell ref="L14:M14"/>
    <mergeCell ref="N14:O14"/>
    <mergeCell ref="P14:Q14"/>
    <mergeCell ref="B15:C15"/>
    <mergeCell ref="D15:E15"/>
    <mergeCell ref="F15:G15"/>
    <mergeCell ref="H15:I15"/>
    <mergeCell ref="J15:K15"/>
    <mergeCell ref="L15:M15"/>
    <mergeCell ref="N15:O15"/>
    <mergeCell ref="P15:Q15"/>
    <mergeCell ref="B16:C16"/>
    <mergeCell ref="D16:E16"/>
    <mergeCell ref="F16:G16"/>
    <mergeCell ref="H16:I16"/>
    <mergeCell ref="J16:K16"/>
    <mergeCell ref="L16:M16"/>
    <mergeCell ref="N16:O16"/>
    <mergeCell ref="P16:Q16"/>
    <mergeCell ref="B17:C17"/>
    <mergeCell ref="D17:E17"/>
    <mergeCell ref="F17:G17"/>
    <mergeCell ref="H17:I17"/>
    <mergeCell ref="J17:K17"/>
    <mergeCell ref="L17:M17"/>
    <mergeCell ref="N17:O17"/>
    <mergeCell ref="P17:Q17"/>
    <mergeCell ref="B18:C18"/>
    <mergeCell ref="D18:E18"/>
    <mergeCell ref="F18:G18"/>
    <mergeCell ref="H18:I18"/>
    <mergeCell ref="J18:K18"/>
    <mergeCell ref="L18:M18"/>
    <mergeCell ref="N18:O18"/>
    <mergeCell ref="P18:Q18"/>
    <mergeCell ref="B19:C19"/>
    <mergeCell ref="D19:E19"/>
    <mergeCell ref="F19:G19"/>
    <mergeCell ref="H19:I19"/>
    <mergeCell ref="J19:K19"/>
    <mergeCell ref="L19:M19"/>
    <mergeCell ref="N19:O19"/>
    <mergeCell ref="P19:Q19"/>
    <mergeCell ref="B20:C20"/>
    <mergeCell ref="D20:E20"/>
    <mergeCell ref="F20:G20"/>
    <mergeCell ref="H20:I20"/>
    <mergeCell ref="J20:K20"/>
    <mergeCell ref="L20:M20"/>
    <mergeCell ref="N20:O20"/>
    <mergeCell ref="P20:Q20"/>
    <mergeCell ref="B21:C21"/>
    <mergeCell ref="D21:E21"/>
    <mergeCell ref="F21:G21"/>
    <mergeCell ref="H21:I21"/>
    <mergeCell ref="J21:K21"/>
    <mergeCell ref="L21:M21"/>
    <mergeCell ref="N21:O21"/>
    <mergeCell ref="P21:Q21"/>
    <mergeCell ref="B22:C22"/>
    <mergeCell ref="D22:E22"/>
    <mergeCell ref="F22:G22"/>
    <mergeCell ref="H22:I22"/>
    <mergeCell ref="J22:K22"/>
    <mergeCell ref="L22:M22"/>
    <mergeCell ref="N22:O22"/>
    <mergeCell ref="P22:Q22"/>
    <mergeCell ref="B23:C23"/>
    <mergeCell ref="D23:E23"/>
    <mergeCell ref="F23:G23"/>
    <mergeCell ref="H23:I23"/>
    <mergeCell ref="J23:K23"/>
    <mergeCell ref="L23:M23"/>
    <mergeCell ref="N23:O23"/>
    <mergeCell ref="P23:Q23"/>
    <mergeCell ref="B24:C24"/>
    <mergeCell ref="D24:E24"/>
    <mergeCell ref="F24:G24"/>
    <mergeCell ref="H24:I24"/>
    <mergeCell ref="J24:K24"/>
    <mergeCell ref="L24:M24"/>
    <mergeCell ref="N24:O24"/>
    <mergeCell ref="P24:Q24"/>
    <mergeCell ref="B25:C25"/>
    <mergeCell ref="D25:E25"/>
    <mergeCell ref="F25:G25"/>
    <mergeCell ref="H25:I25"/>
    <mergeCell ref="J25:K25"/>
    <mergeCell ref="L25:M25"/>
    <mergeCell ref="N25:O25"/>
    <mergeCell ref="P25:Q25"/>
    <mergeCell ref="B26:C26"/>
    <mergeCell ref="D26:E26"/>
    <mergeCell ref="F26:G26"/>
    <mergeCell ref="H26:I26"/>
    <mergeCell ref="J26:K26"/>
    <mergeCell ref="L26:M26"/>
    <mergeCell ref="N26:O26"/>
    <mergeCell ref="P26:Q26"/>
    <mergeCell ref="B27:C27"/>
    <mergeCell ref="D27:E27"/>
    <mergeCell ref="F27:G27"/>
    <mergeCell ref="H27:I27"/>
    <mergeCell ref="J27:K27"/>
    <mergeCell ref="L27:M27"/>
    <mergeCell ref="N27:O27"/>
    <mergeCell ref="P27:Q27"/>
    <mergeCell ref="B28:C28"/>
    <mergeCell ref="D28:E28"/>
    <mergeCell ref="F28:G28"/>
    <mergeCell ref="H28:I28"/>
    <mergeCell ref="J28:K28"/>
    <mergeCell ref="L28:M28"/>
    <mergeCell ref="N28:O28"/>
    <mergeCell ref="P28:Q28"/>
    <mergeCell ref="B29:C29"/>
    <mergeCell ref="D29:E29"/>
    <mergeCell ref="F29:G29"/>
    <mergeCell ref="H29:I29"/>
    <mergeCell ref="J29:K29"/>
    <mergeCell ref="L29:M29"/>
    <mergeCell ref="N29:O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B31:C31"/>
    <mergeCell ref="D31:E31"/>
    <mergeCell ref="F31:G31"/>
    <mergeCell ref="H31:I31"/>
    <mergeCell ref="J31:K31"/>
    <mergeCell ref="L31:M31"/>
    <mergeCell ref="N31:O31"/>
    <mergeCell ref="P31:Q31"/>
    <mergeCell ref="B32:C32"/>
    <mergeCell ref="D32:E32"/>
    <mergeCell ref="F32:G32"/>
    <mergeCell ref="H32:I32"/>
    <mergeCell ref="J32:K32"/>
    <mergeCell ref="L32:M32"/>
    <mergeCell ref="N32:O32"/>
    <mergeCell ref="P32:Q32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B35:C35"/>
    <mergeCell ref="D35:E35"/>
    <mergeCell ref="F35:G35"/>
    <mergeCell ref="H35:I35"/>
    <mergeCell ref="J35:K35"/>
    <mergeCell ref="L35:M35"/>
    <mergeCell ref="N35:O35"/>
    <mergeCell ref="P35:Q35"/>
    <mergeCell ref="B36:C36"/>
    <mergeCell ref="D36:E36"/>
    <mergeCell ref="F36:G36"/>
    <mergeCell ref="H36:I36"/>
    <mergeCell ref="J36:K36"/>
    <mergeCell ref="L36:M36"/>
    <mergeCell ref="N36:O36"/>
    <mergeCell ref="P36:Q36"/>
    <mergeCell ref="B37:C37"/>
    <mergeCell ref="D37:E37"/>
    <mergeCell ref="F37:G37"/>
    <mergeCell ref="H37:I37"/>
    <mergeCell ref="J37:K37"/>
    <mergeCell ref="L37:M37"/>
    <mergeCell ref="N37:O37"/>
    <mergeCell ref="P37:Q37"/>
    <mergeCell ref="B38:C38"/>
    <mergeCell ref="D38:E38"/>
    <mergeCell ref="F38:G38"/>
    <mergeCell ref="H38:I38"/>
    <mergeCell ref="J38:K38"/>
    <mergeCell ref="L38:M38"/>
    <mergeCell ref="N38:O38"/>
    <mergeCell ref="P38:Q38"/>
    <mergeCell ref="B39:C39"/>
    <mergeCell ref="D39:E39"/>
    <mergeCell ref="F39:G39"/>
    <mergeCell ref="H39:I39"/>
    <mergeCell ref="J39:K39"/>
    <mergeCell ref="L39:M39"/>
    <mergeCell ref="N39:O39"/>
    <mergeCell ref="P39:Q39"/>
    <mergeCell ref="B40:C40"/>
    <mergeCell ref="D40:E40"/>
    <mergeCell ref="F40:G40"/>
    <mergeCell ref="H40:I40"/>
    <mergeCell ref="J40:K40"/>
    <mergeCell ref="L40:M40"/>
    <mergeCell ref="N40:O40"/>
    <mergeCell ref="P40:Q40"/>
    <mergeCell ref="B41:C41"/>
    <mergeCell ref="D41:E41"/>
    <mergeCell ref="F41:G41"/>
    <mergeCell ref="H41:I41"/>
    <mergeCell ref="J41:K41"/>
    <mergeCell ref="L41:M41"/>
    <mergeCell ref="N41:O41"/>
    <mergeCell ref="P41:Q41"/>
    <mergeCell ref="B42:C42"/>
    <mergeCell ref="D42:E42"/>
    <mergeCell ref="F42:G42"/>
    <mergeCell ref="H42:I42"/>
    <mergeCell ref="J42:K42"/>
    <mergeCell ref="L42:M42"/>
    <mergeCell ref="N42:O42"/>
    <mergeCell ref="P42:Q42"/>
    <mergeCell ref="B43:C43"/>
    <mergeCell ref="D43:E43"/>
    <mergeCell ref="F43:G43"/>
    <mergeCell ref="H43:I43"/>
    <mergeCell ref="J43:K43"/>
    <mergeCell ref="L43:M43"/>
    <mergeCell ref="N43:O43"/>
    <mergeCell ref="P43:Q43"/>
    <mergeCell ref="B44:C44"/>
    <mergeCell ref="D44:E44"/>
    <mergeCell ref="F44:G44"/>
    <mergeCell ref="H44:I44"/>
    <mergeCell ref="J44:K44"/>
    <mergeCell ref="L44:M44"/>
    <mergeCell ref="N44:O44"/>
    <mergeCell ref="P44:Q44"/>
    <mergeCell ref="B45:C45"/>
    <mergeCell ref="D45:E45"/>
    <mergeCell ref="F45:G45"/>
    <mergeCell ref="H45:I45"/>
    <mergeCell ref="J45:K45"/>
    <mergeCell ref="L45:M45"/>
    <mergeCell ref="N45:O45"/>
    <mergeCell ref="P45:Q45"/>
    <mergeCell ref="B46:C46"/>
    <mergeCell ref="D46:E46"/>
    <mergeCell ref="F46:G46"/>
    <mergeCell ref="H46:I46"/>
    <mergeCell ref="J46:K46"/>
    <mergeCell ref="L46:M46"/>
    <mergeCell ref="N46:O46"/>
    <mergeCell ref="P46:Q46"/>
    <mergeCell ref="B47:C47"/>
    <mergeCell ref="D47:E47"/>
    <mergeCell ref="F47:G47"/>
    <mergeCell ref="H47:I47"/>
    <mergeCell ref="J47:K47"/>
    <mergeCell ref="L47:M47"/>
    <mergeCell ref="N47:O47"/>
    <mergeCell ref="P47:Q47"/>
    <mergeCell ref="B48:C48"/>
    <mergeCell ref="D48:E48"/>
    <mergeCell ref="F48:G48"/>
    <mergeCell ref="H48:I48"/>
    <mergeCell ref="J48:K48"/>
    <mergeCell ref="L48:M48"/>
    <mergeCell ref="N48:O48"/>
    <mergeCell ref="P48:Q48"/>
    <mergeCell ref="B49:C49"/>
    <mergeCell ref="D49:E49"/>
    <mergeCell ref="F49:G49"/>
    <mergeCell ref="H49:I49"/>
    <mergeCell ref="J49:K49"/>
    <mergeCell ref="L49:M49"/>
    <mergeCell ref="N49:O49"/>
    <mergeCell ref="P49:Q49"/>
    <mergeCell ref="B50:C50"/>
    <mergeCell ref="D50:E50"/>
    <mergeCell ref="F50:G50"/>
    <mergeCell ref="H50:I50"/>
    <mergeCell ref="J50:K50"/>
    <mergeCell ref="L50:M50"/>
    <mergeCell ref="N50:O50"/>
    <mergeCell ref="P50:Q50"/>
    <mergeCell ref="B51:C51"/>
    <mergeCell ref="D51:E51"/>
    <mergeCell ref="F51:G51"/>
    <mergeCell ref="H51:I51"/>
    <mergeCell ref="J51:K51"/>
    <mergeCell ref="L51:M51"/>
    <mergeCell ref="N51:O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</mergeCells>
  <dataValidations count="1">
    <dataValidation type="list" allowBlank="1" showInputMessage="1" showErrorMessage="1" sqref="C2:D2">
      <formula1>"控江校区,本溪校区,徐汇校区,创智校区,漫游城校区,大融城校区,浦东校区"</formula1>
    </dataValidation>
  </dataValidations>
  <hyperlinks>
    <hyperlink ref="P4" r:id="rId1" display="https://item.taobao.com/item.htm?abbucket=10&amp;id=896754903078&amp;mi_id=0000NCv_znqVHykex9ITogo-Q31kq1qc6AFtIxvKKZkGeQE&amp;ns=1&amp;priceTId=214782e417889205924387406e1096&amp;skuId=5751680429110&amp;spm=a21n57.1.hoverItem.2&amp;utparam=%7B%22aplus_abtest%22%3A%22f386ecee692dfff30d7032bb3c6a9084%22%7D&amp;xxc=taobaoSearch"/>
    <hyperlink ref="P5" r:id="rId2" display="https://item.taobao.com/item.htm?abbucket=10&amp;id=553559966915&amp;mi_id=0000maQNW2meKMxJoTcuyxSGTSrOZ7swbQ7mHFPNV4Ggm3c&amp;ns=1&amp;priceTId=214781de17889221327262886e104a&amp;spm=a21n57.1.hoverItem.3&amp;utparam=%7B%22aplus_abtest%22%3A%22a153aa6984b21786cf3e942b24683e56%22%7D&amp;xxc=taobaoSearch&amp;skuId=5463960671731"/>
    <hyperlink ref="P7" r:id="rId3" display="https://detail.tmall.com/item.htm?abbucket=10&amp;id=748867667707&amp;mi_id=0000lFl7QjTNLsfDncpw7WR3JHEGaNctIDrGiH3i4f55Hy4&amp;ns=1&amp;priceTId=2147867117889233098781550e0fa1&amp;spm=a21n57.1.hoverItem.4&amp;utparam=%7B%22aplus_abtest%22%3A%22844d00c2734794cfc68efd6ca8f72ac2%22%7D&amp;xxc=taobaoSearch&amp;skuId=5331526026329"/>
    <hyperlink ref="P6" r:id="rId3" display="https://detail.tmall.com/item.htm?abbucket=10&amp;id=748867667707&amp;mi_id=0000lFl7QjTNLsfDncpw7WR3JHEGaNctIDrGiH3i4f55Hy4&amp;ns=1&amp;priceTId=2147867117889233098781550e0fa1&amp;spm=a21n57.1.hoverItem.4&amp;utparam=%7B%22aplus_abtest%22%3A%22844d00c2734794cfc68efd6ca8f72ac2%22%7D&amp;xxc=taobaoSearch&amp;skuId=5331526026329"/>
    <hyperlink ref="P8" r:id="rId4" display="https://detail.tmall.com/item.htm?abbucket=10&amp;id=645346572889&amp;mi_id=0000twxlwsilBbD1EsLporgvnfYSeWJ4q5XcTNMaPdRm5FA&amp;ns=1&amp;priceTId=2147867117889234625638260e0fa1&amp;skuId=6076836318576&amp;spm=a21n57.1.hoverItem.5&amp;utparam=%7B%22aplus_abtest%22%3A%225e9976200c9c7b697722d76150aa444e%22%7D&amp;xxc=taobaoSearch"/>
    <hyperlink ref="P9" r:id="rId5" display="https://detail.tmall.com/item.htm?id=661535464420&amp;mi_id=0000Q32p7dhx0nHEg-nXe0TVq7WTvlYOFdCJWRa6izGXrbg&amp;skuId=4949947595281&amp;spm=a21xtw.29978516.0.0&amp;xxc=shop"/>
    <hyperlink ref="P10" r:id="rId6" display="https://detail.tmall.com/item.htm?abbucket=10&amp;id=861510231125&amp;mi_id=00003VIRjV0sb1j1kfpC7-hfqzqIi2nwevjMLR4d5HgTmtw&amp;ns=1&amp;priceTId=2147867117889237176215529e0fa1&amp;spm=a21n57.1.hoverItem.2&amp;utparam=%7B%22aplus_abtest%22%3A%2297f4fef3315d8217371d9c5c1fd0e6e5%22%7D&amp;xxc=taobaoSearch&amp;skuId=5679756032971"/>
    <hyperlink ref="P11" r:id="rId7" display="https://detail.tmall.com/item.htm?abbucket=10&amp;id=712748319570&amp;mi_id=0000Ij_HNVC_IC4IoNpJWg7oDYTluHh_WWLsmyEPlKRfvlY&amp;ns=1&amp;priceTId=2147846b17889242201686087e101d&amp;spm=a21n57.1.hoverItem.41&amp;utparam=%7B%22aplus_abtest%22%3A%223930d235ac8148df499502f489b66ec9%22%7D&amp;xxc=taobaoSearch&amp;skuId=6276058610589"/>
    <hyperlink ref="P12" r:id="rId8" display="https://item.taobao.com/item.htm?abbucket=10&amp;id=769096395403&amp;mi_id=0000W8kaq1vsQQbgVElZBAAdTLmZvmxyj-x2GMVs8fBk4bs&amp;ns=1&amp;priceTId=213e019f17889245819655135e1150&amp;spm=a21n57.1.hoverItem.3&amp;utparam=%7B%22aplus_abtest%22%3A%2230c4475e3f6d515c9b6e9179b0faabed%22%7D&amp;xxc=taobaoSearch&amp;skuId=5446885211548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肇始</cp:lastModifiedBy>
  <dcterms:created xsi:type="dcterms:W3CDTF">2026-09-09T18:31:00Z</dcterms:created>
  <dcterms:modified xsi:type="dcterms:W3CDTF">2026-09-09T11:37:09Z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A512166E967CDA9F35C5A06A0554538B_42</vt:lpwstr>
  </property>
  <property fmtid="{D5CDD505-2E9C-101B-9397-08002B2CF9AE}" pid="3" name="KSOProductBuildVer">
    <vt:lpwstr>2052-12.1.23540.23540</vt:lpwstr>
  </property>
</Properties>
</file>